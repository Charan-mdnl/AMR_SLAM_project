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Bill of Materials" sheetId="2" state="visible" r:id="rId2"/>
    <sheet xmlns:r="http://schemas.openxmlformats.org/officeDocument/2006/relationships" name="Kinematics &amp; Calculations" sheetId="3" state="visible" r:id="rId3"/>
    <sheet xmlns:r="http://schemas.openxmlformats.org/officeDocument/2006/relationships" name="Wiring 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C3E50"/>
      <sz val="11"/>
    </font>
    <font>
      <name val="Segoe UI"/>
      <b val="1"/>
      <color rgb="002C3E50"/>
      <sz val="12"/>
    </font>
    <font>
      <name val="Segoe UI"/>
      <i val="1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4A90E2"/>
        <bgColor rgb="004A90E2"/>
      </patternFill>
    </fill>
    <fill>
      <patternFill patternType="solid">
        <fgColor rgb="00F8F9FA"/>
        <bgColor rgb="00F8F9FA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2C3E50"/>
      </bottom>
    </border>
    <border>
      <top style="thin">
        <color rgb="00D3D3D3"/>
      </top>
      <bottom style="double">
        <color rgb="002C3E5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5" borderId="3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1" pivotButton="0" quotePrefix="0" xfId="0"/>
    <xf numFmtId="0" fontId="7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4" borderId="1" pivotButton="0" quotePrefix="0" xfId="0"/>
    <xf numFmtId="0" fontId="7" fillId="4" borderId="1" pivotButton="0" quotePrefix="0" xfId="0"/>
    <xf numFmtId="165" fontId="3" fillId="4" borderId="1" applyAlignment="1" pivotButton="0" quotePrefix="0" xfId="0">
      <alignment horizontal="right" vertical="center"/>
    </xf>
    <xf numFmtId="0" fontId="4" fillId="4" borderId="1" pivotButton="0" quotePrefix="0" xfId="0"/>
    <xf numFmtId="165" fontId="3" fillId="0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5" customHeight="1">
      <c r="A1" s="1" t="inlineStr">
        <is>
          <t>Target Model: TUSK E10T (Telescopic Pallet APR)</t>
        </is>
      </c>
    </row>
    <row r="2" ht="20" customHeight="1"/>
    <row r="3" ht="22" customHeight="1">
      <c r="A3" t="inlineStr"/>
      <c r="B3" t="inlineStr"/>
    </row>
    <row r="4" ht="22" customHeight="1">
      <c r="A4" s="2" t="inlineStr">
        <is>
          <t>Design Parameter</t>
        </is>
      </c>
      <c r="B4" s="2" t="inlineStr">
        <is>
          <t>Specification Value</t>
        </is>
      </c>
    </row>
    <row r="5" ht="22" customHeight="1">
      <c r="A5" s="3" t="inlineStr">
        <is>
          <t>Base Robot Model Reference</t>
        </is>
      </c>
      <c r="B5" s="4" t="inlineStr">
        <is>
          <t>TUSK E10T (Telescopic extending forks &amp; folding wheels)</t>
        </is>
      </c>
    </row>
    <row r="6" ht="22" customHeight="1">
      <c r="A6" s="5" t="inlineStr">
        <is>
          <t>Target Pallet Compatibility</t>
        </is>
      </c>
      <c r="B6" s="6" t="inlineStr">
        <is>
          <t>EUR-2 (1200x1000mm) &amp; EUR-1 (1200x800mm) including double-sided pallets</t>
        </is>
      </c>
    </row>
    <row r="7" ht="22" customHeight="1">
      <c r="A7" s="3" t="inlineStr">
        <is>
          <t>Maximum Payload Capacity</t>
        </is>
      </c>
      <c r="B7" s="4" t="inlineStr">
        <is>
          <t>1000 kg (1.0 Ton)</t>
        </is>
      </c>
    </row>
    <row r="8" ht="22" customHeight="1">
      <c r="A8" s="5" t="inlineStr">
        <is>
          <t>Robot Self-Weight</t>
        </is>
      </c>
      <c r="B8" s="6" t="inlineStr">
        <is>
          <t>320 kg (including telescopic rails, carriage, and battery)</t>
        </is>
      </c>
    </row>
    <row r="9" ht="22" customHeight="1">
      <c r="A9" s="3" t="inlineStr">
        <is>
          <t>Kinematic Layout</t>
        </is>
      </c>
      <c r="B9" s="4" t="inlineStr">
        <is>
          <t>Differential Drive (2x Active mid-wheels, 4x Corner spring-suspended casters)</t>
        </is>
      </c>
    </row>
    <row r="10" ht="22" customHeight="1">
      <c r="A10" s="5" t="inlineStr">
        <is>
          <t>Maximum Speed (Loaded / Unloaded)</t>
        </is>
      </c>
      <c r="B10" s="6" t="inlineStr">
        <is>
          <t>1.5 m/s (Loaded) / 2.0 m/s (Unloaded)</t>
        </is>
      </c>
    </row>
    <row r="11" ht="22" customHeight="1">
      <c r="A11" s="3" t="inlineStr">
        <is>
          <t>Lifting Height Range</t>
        </is>
      </c>
      <c r="B11" s="4" t="inlineStr">
        <is>
          <t>75 mm (Lowered) to 175 mm (Fully Raised)</t>
        </is>
      </c>
    </row>
    <row r="12" ht="22" customHeight="1">
      <c r="A12" s="5" t="inlineStr">
        <is>
          <t>Lifting Mechanism</t>
        </is>
      </c>
      <c r="B12" s="6" t="inlineStr">
        <is>
          <t>Central vertical lifting carriage driven by a single motor and ball screw</t>
        </is>
      </c>
    </row>
    <row r="13" ht="22" customHeight="1">
      <c r="A13" s="3" t="inlineStr">
        <is>
          <t>Fork Extension Mechanism</t>
        </is>
      </c>
      <c r="B13" s="4" t="inlineStr">
        <is>
          <t>Synchronized telescopic guide rails driven by a single motor via a splined shaft</t>
        </is>
      </c>
    </row>
    <row r="14" ht="22" customHeight="1">
      <c r="A14" s="5" t="inlineStr">
        <is>
          <t>Fork Wheel Mechanism</t>
        </is>
      </c>
      <c r="B14" s="6" t="inlineStr">
        <is>
          <t>Passive retractable load rollers (rods pull rollers up when forks retract, and push them down during lift)</t>
        </is>
      </c>
    </row>
    <row r="15" ht="22" customHeight="1">
      <c r="A15" s="3" t="inlineStr">
        <is>
          <t>Fork Width Adjustment Mechanism</t>
        </is>
      </c>
      <c r="B15" s="4" t="inlineStr">
        <is>
          <t>Transverse Lead Screw for sliding forks on carriage (Adjustable span 550mm - 900mm)</t>
        </is>
      </c>
    </row>
    <row r="16" ht="22" customHeight="1">
      <c r="A16" s="5" t="inlineStr">
        <is>
          <t>Power Source</t>
        </is>
      </c>
      <c r="B16" s="6" t="inlineStr">
        <is>
          <t>48V 60Ah Lithium Iron Phosphate (LiFePO4) Battery with Smart BMS</t>
        </is>
      </c>
    </row>
    <row r="17" ht="22" customHeight="1">
      <c r="A17" s="3" t="inlineStr">
        <is>
          <t>Navigation System</t>
        </is>
      </c>
      <c r="B17" s="4" t="inlineStr">
        <is>
          <t>Hybrid SLAM (2D LiDAR + 3D Depth Camera) &amp; DM QR-code navigation</t>
        </is>
      </c>
    </row>
    <row r="18" ht="22" customHeight="1">
      <c r="A18" s="5" t="inlineStr">
        <is>
          <t>Control Hardware</t>
        </is>
      </c>
      <c r="B18" s="6" t="inlineStr">
        <is>
          <t>ROS 2 Navigation PC (Intel Core i5) + STM32 Microcontroller (micro-ROS)</t>
        </is>
      </c>
    </row>
    <row r="19" ht="22" customHeight="1">
      <c r="A19" s="3" t="inlineStr">
        <is>
          <t>Aisle Requirements</t>
        </is>
      </c>
      <c r="B19" s="4" t="inlineStr">
        <is>
          <t>Minimum Travel Aisle: 1.4m | Minimum Pick Aisle: 2.0m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36" customWidth="1" min="4" max="4"/>
    <col width="34" customWidth="1" min="5" max="5"/>
    <col width="22" customWidth="1" min="6" max="6"/>
    <col width="8" customWidth="1" min="7" max="7"/>
    <col width="13" customWidth="1" min="8" max="8"/>
    <col width="15" customWidth="1" min="9" max="9"/>
    <col width="42" customWidth="1" min="10" max="10"/>
  </cols>
  <sheetData>
    <row r="1" ht="35" customHeight="1">
      <c r="A1" s="1" t="inlineStr">
        <is>
          <t>BOM: TUSK E10T Telescopic Pallet-Handling AMR (1-Ton)</t>
        </is>
      </c>
    </row>
    <row r="3" ht="26" customHeight="1">
      <c r="A3" s="7" t="inlineStr">
        <is>
          <t>Item ID</t>
        </is>
      </c>
      <c r="B3" s="7" t="inlineStr">
        <is>
          <t>Category</t>
        </is>
      </c>
      <c r="C3" s="7" t="inlineStr">
        <is>
          <t>Component Name</t>
        </is>
      </c>
      <c r="D3" s="7" t="inlineStr">
        <is>
          <t>Description</t>
        </is>
      </c>
      <c r="E3" s="7" t="inlineStr">
        <is>
          <t>Specifications</t>
        </is>
      </c>
      <c r="F3" s="7" t="inlineStr">
        <is>
          <t>Supplier / Manufacturer</t>
        </is>
      </c>
      <c r="G3" s="7" t="inlineStr">
        <is>
          <t>Qty</t>
        </is>
      </c>
      <c r="H3" s="7" t="inlineStr">
        <is>
          <t>Unit Cost ($)</t>
        </is>
      </c>
      <c r="I3" s="7" t="inlineStr">
        <is>
          <t>Total Cost ($)</t>
        </is>
      </c>
      <c r="J3" s="7" t="inlineStr">
        <is>
          <t>Engineering Notes</t>
        </is>
      </c>
    </row>
    <row r="4" ht="36" customHeight="1">
      <c r="A4" s="8" t="inlineStr">
        <is>
          <t>AMR-BOM-001</t>
        </is>
      </c>
      <c r="B4" s="9" t="inlineStr">
        <is>
          <t>Mechanical</t>
        </is>
      </c>
      <c r="C4" s="6" t="inlineStr">
        <is>
          <t>Chassis Base Frame</t>
        </is>
      </c>
      <c r="D4" s="10" t="inlineStr">
        <is>
          <t>Heavy-duty structural steel frame, laser-cut &amp; welded plates</t>
        </is>
      </c>
      <c r="E4" s="10" t="inlineStr">
        <is>
          <t>10mm A36 Steel Plates, Custom Weldment</t>
        </is>
      </c>
      <c r="F4" s="6" t="inlineStr">
        <is>
          <t>Local CNC/Weld Shop</t>
        </is>
      </c>
      <c r="G4" s="11" t="n">
        <v>1</v>
      </c>
      <c r="H4" s="12" t="n">
        <v>650</v>
      </c>
      <c r="I4" s="13">
        <f>G4*H4</f>
        <v/>
      </c>
      <c r="J4" s="10" t="inlineStr">
        <is>
          <t>Main frame holding battery, drive motors, and vertical guide rails</t>
        </is>
      </c>
    </row>
    <row r="5" ht="36" customHeight="1">
      <c r="A5" s="14" t="inlineStr">
        <is>
          <t>AMR-BOM-002</t>
        </is>
      </c>
      <c r="B5" s="15" t="inlineStr">
        <is>
          <t>Mechanical</t>
        </is>
      </c>
      <c r="C5" s="4" t="inlineStr">
        <is>
          <t>Vertical Lifting Carriage</t>
        </is>
      </c>
      <c r="D5" s="16" t="inlineStr">
        <is>
          <t>Slide weldment plate that raises/lowers the entire fork assembly</t>
        </is>
      </c>
      <c r="E5" s="16" t="inlineStr">
        <is>
          <t>8mm Steel Plates, Custom CNC Weldment</t>
        </is>
      </c>
      <c r="F5" s="4" t="inlineStr">
        <is>
          <t>Local CNC/Weld Shop</t>
        </is>
      </c>
      <c r="G5" s="17" t="n">
        <v>1</v>
      </c>
      <c r="H5" s="18" t="n">
        <v>380</v>
      </c>
      <c r="I5" s="19">
        <f>G5*H5</f>
        <v/>
      </c>
      <c r="J5" s="16" t="inlineStr">
        <is>
          <t>Rides vertically on chassis rails; holds the fork width and extension assemblies</t>
        </is>
      </c>
    </row>
    <row r="6" ht="36" customHeight="1">
      <c r="A6" s="8" t="inlineStr">
        <is>
          <t>AMR-BOM-003</t>
        </is>
      </c>
      <c r="B6" s="9" t="inlineStr">
        <is>
          <t>Mechanical</t>
        </is>
      </c>
      <c r="C6" s="6" t="inlineStr">
        <is>
          <t>Suspended Left &amp; Right Forks</t>
        </is>
      </c>
      <c r="D6" s="10" t="inlineStr">
        <is>
          <t>Low-profile sliding fork channels housing pull-rods</t>
        </is>
      </c>
      <c r="E6" s="10" t="inlineStr">
        <is>
          <t>Forks thickness 65mm, High-Strength Steel Q345</t>
        </is>
      </c>
      <c r="F6" s="6" t="inlineStr">
        <is>
          <t>Local CNC/Weld Shop</t>
        </is>
      </c>
      <c r="G6" s="11" t="n">
        <v>2</v>
      </c>
      <c r="H6" s="12" t="n">
        <v>450</v>
      </c>
      <c r="I6" s="13">
        <f>G6*H6</f>
        <v/>
      </c>
      <c r="J6" s="10" t="inlineStr">
        <is>
          <t>Provides the support surface for lifting pallets</t>
        </is>
      </c>
    </row>
    <row r="7" ht="36" customHeight="1">
      <c r="A7" s="14" t="inlineStr">
        <is>
          <t>AMR-BOM-004</t>
        </is>
      </c>
      <c r="B7" s="15" t="inlineStr">
        <is>
          <t>Mechanical</t>
        </is>
      </c>
      <c r="C7" s="4" t="inlineStr">
        <is>
          <t>Fork Width Adjustment Slides</t>
        </is>
      </c>
      <c r="D7" s="16" t="inlineStr">
        <is>
          <t>Linear rails &amp; carriages to slide forks transversely on carriage</t>
        </is>
      </c>
      <c r="E7" s="16" t="inlineStr">
        <is>
          <t>Hiwin HGR20 Rails (L=800mm) + HGW20CC Blocks</t>
        </is>
      </c>
      <c r="F7" s="4" t="inlineStr">
        <is>
          <t>Hiwin / local distributor</t>
        </is>
      </c>
      <c r="G7" s="17" t="n">
        <v>2</v>
      </c>
      <c r="H7" s="18" t="n">
        <v>120</v>
      </c>
      <c r="I7" s="19">
        <f>G7*H7</f>
        <v/>
      </c>
      <c r="J7" s="16" t="inlineStr">
        <is>
          <t>Allows adjusting fork span for EUR-1 and EUR-2 pallets</t>
        </is>
      </c>
    </row>
    <row r="8" ht="36" customHeight="1">
      <c r="A8" s="8" t="inlineStr">
        <is>
          <t>AMR-BOM-005</t>
        </is>
      </c>
      <c r="B8" s="9" t="inlineStr">
        <is>
          <t>Mechanical</t>
        </is>
      </c>
      <c r="C8" s="6" t="inlineStr">
        <is>
          <t>Fork Extension Telescopic Slides</t>
        </is>
      </c>
      <c r="D8" s="10" t="inlineStr">
        <is>
          <t>Heavy-duty multi-stage telescopic linear rails for fork travel</t>
        </is>
      </c>
      <c r="E8" s="10" t="inlineStr">
        <is>
          <t>Rollon DSS43-1170 Telescopic Rails, Over-extension</t>
        </is>
      </c>
      <c r="F8" s="6" t="inlineStr">
        <is>
          <t>Rollon / local distributor</t>
        </is>
      </c>
      <c r="G8" s="11" t="n">
        <v>2</v>
      </c>
      <c r="H8" s="12" t="n">
        <v>380</v>
      </c>
      <c r="I8" s="13">
        <f>G8*H8</f>
        <v/>
      </c>
      <c r="J8" s="10" t="inlineStr">
        <is>
          <t>Allows forks to extend 1400mm forward from the lift carriage</t>
        </is>
      </c>
    </row>
    <row r="9" ht="36" customHeight="1">
      <c r="A9" s="14" t="inlineStr">
        <is>
          <t>AMR-BOM-006</t>
        </is>
      </c>
      <c r="B9" s="15" t="inlineStr">
        <is>
          <t>Mechanical</t>
        </is>
      </c>
      <c r="C9" s="4" t="inlineStr">
        <is>
          <t>Fork Wheel Folding Linkages</t>
        </is>
      </c>
      <c r="D9" s="16" t="inlineStr">
        <is>
          <t>Mechanical swingarms and long pull-rods running inside forks</t>
        </is>
      </c>
      <c r="E9" s="16" t="inlineStr">
        <is>
          <t>Custom Q345 linkages + pinned joints</t>
        </is>
      </c>
      <c r="F9" s="4" t="inlineStr">
        <is>
          <t>Local CNC/Weld Shop</t>
        </is>
      </c>
      <c r="G9" s="17" t="n">
        <v>2</v>
      </c>
      <c r="H9" s="18" t="n">
        <v>110</v>
      </c>
      <c r="I9" s="19">
        <f>G9*H9</f>
        <v/>
      </c>
      <c r="J9" s="16" t="inlineStr">
        <is>
          <t>Passively folds load rollers up when forks retract, and down when lifting</t>
        </is>
      </c>
    </row>
    <row r="10" ht="36" customHeight="1">
      <c r="A10" s="8" t="inlineStr">
        <is>
          <t>AMR-BOM-007</t>
        </is>
      </c>
      <c r="B10" s="9" t="inlineStr">
        <is>
          <t>Mechanical</t>
        </is>
      </c>
      <c r="C10" s="6" t="inlineStr">
        <is>
          <t>Central Lifting Ball Screw</t>
        </is>
      </c>
      <c r="D10" s="10" t="inlineStr">
        <is>
          <t>High-capacity vertical ball screw for carriage lift</t>
        </is>
      </c>
      <c r="E10" s="10" t="inlineStr">
        <is>
          <t>SFU2505 Ball Screw (L=400mm), C7 Accuracy</t>
        </is>
      </c>
      <c r="F10" s="6" t="inlineStr">
        <is>
          <t>TBI Motion / Misumi</t>
        </is>
      </c>
      <c r="G10" s="11" t="n">
        <v>1</v>
      </c>
      <c r="H10" s="12" t="n">
        <v>95</v>
      </c>
      <c r="I10" s="13">
        <f>G10*H10</f>
        <v/>
      </c>
      <c r="J10" s="10" t="inlineStr">
        <is>
          <t>Single central screw to lift the entire carriage vertically</t>
        </is>
      </c>
    </row>
    <row r="11" ht="36" customHeight="1">
      <c r="A11" s="14" t="inlineStr">
        <is>
          <t>AMR-BOM-008</t>
        </is>
      </c>
      <c r="B11" s="15" t="inlineStr">
        <is>
          <t>Mechanical</t>
        </is>
      </c>
      <c r="C11" s="4" t="inlineStr">
        <is>
          <t>Vertical Guide Rails</t>
        </is>
      </c>
      <c r="D11" s="16" t="inlineStr">
        <is>
          <t>Heavy-duty linear profile rails for carriage vertical guide</t>
        </is>
      </c>
      <c r="E11" s="16" t="inlineStr">
        <is>
          <t>Hiwin HGR25 Rails (L=500mm) + HGW25CC Blocks</t>
        </is>
      </c>
      <c r="F11" s="4" t="inlineStr">
        <is>
          <t>Hiwin / local distributor</t>
        </is>
      </c>
      <c r="G11" s="17" t="n">
        <v>2</v>
      </c>
      <c r="H11" s="18" t="n">
        <v>115</v>
      </c>
      <c r="I11" s="19">
        <f>G11*H11</f>
        <v/>
      </c>
      <c r="J11" s="16" t="inlineStr">
        <is>
          <t>Mounted vertically on chassis front face for lift stability</t>
        </is>
      </c>
    </row>
    <row r="12" ht="36" customHeight="1">
      <c r="A12" s="8" t="inlineStr">
        <is>
          <t>AMR-BOM-009</t>
        </is>
      </c>
      <c r="B12" s="9" t="inlineStr">
        <is>
          <t>Mechanical</t>
        </is>
      </c>
      <c r="C12" s="6" t="inlineStr">
        <is>
          <t>Heavy-Duty Drive Wheels</t>
        </is>
      </c>
      <c r="D12" s="10" t="inlineStr">
        <is>
          <t>Polyurethane tread wheels on cast iron core for drive traction</t>
        </is>
      </c>
      <c r="E12" s="10" t="inlineStr">
        <is>
          <t>Dia 200mm, Width 75mm, Keyway hub</t>
        </is>
      </c>
      <c r="F12" s="6" t="inlineStr">
        <is>
          <t>Blickle / local supplier</t>
        </is>
      </c>
      <c r="G12" s="11" t="n">
        <v>2</v>
      </c>
      <c r="H12" s="12" t="n">
        <v>75</v>
      </c>
      <c r="I12" s="13">
        <f>G12*H12</f>
        <v/>
      </c>
      <c r="J12" s="10" t="inlineStr">
        <is>
          <t>Mid-drive wheels for differential steering layout</t>
        </is>
      </c>
    </row>
    <row r="13" ht="36" customHeight="1">
      <c r="A13" s="14" t="inlineStr">
        <is>
          <t>AMR-BOM-010</t>
        </is>
      </c>
      <c r="B13" s="15" t="inlineStr">
        <is>
          <t>Mechanical</t>
        </is>
      </c>
      <c r="C13" s="4" t="inlineStr">
        <is>
          <t>Heavy-Duty Caster Wheels</t>
        </is>
      </c>
      <c r="D13" s="16" t="inlineStr">
        <is>
          <t>Swivel casters with polyurethane tires for chassis corners</t>
        </is>
      </c>
      <c r="E13" s="16" t="inlineStr">
        <is>
          <t>Dia 100mm, load capacity 350kg each</t>
        </is>
      </c>
      <c r="F13" s="4" t="inlineStr">
        <is>
          <t>Blickle / Misumi</t>
        </is>
      </c>
      <c r="G13" s="17" t="n">
        <v>4</v>
      </c>
      <c r="H13" s="18" t="n">
        <v>45</v>
      </c>
      <c r="I13" s="19">
        <f>G13*H13</f>
        <v/>
      </c>
      <c r="J13" s="16" t="inlineStr">
        <is>
          <t>Four corner support wheels with spring suspension</t>
        </is>
      </c>
    </row>
    <row r="14" ht="36" customHeight="1">
      <c r="A14" s="8" t="inlineStr">
        <is>
          <t>AMR-BOM-011</t>
        </is>
      </c>
      <c r="B14" s="9" t="inlineStr">
        <is>
          <t>Mechanical</t>
        </is>
      </c>
      <c r="C14" s="6" t="inlineStr">
        <is>
          <t>Fork Tip Load Rollers</t>
        </is>
      </c>
      <c r="D14" s="10" t="inlineStr">
        <is>
          <t>Low-profile tandem rollers inside fork tips, mounted on folding swingarms</t>
        </is>
      </c>
      <c r="E14" s="10" t="inlineStr">
        <is>
          <t>Dia 60mm, polyurethane, needle bearings</t>
        </is>
      </c>
      <c r="F14" s="6" t="inlineStr">
        <is>
          <t>Blickle / local supplier</t>
        </is>
      </c>
      <c r="G14" s="11" t="n">
        <v>4</v>
      </c>
      <c r="H14" s="12" t="n">
        <v>30</v>
      </c>
      <c r="I14" s="13">
        <f>G14*H14</f>
        <v/>
      </c>
      <c r="J14" s="10" t="inlineStr">
        <is>
          <t>Sits under the front part of the forks, supports pallet weight</t>
        </is>
      </c>
    </row>
    <row r="15" ht="36" customHeight="1">
      <c r="A15" s="14" t="inlineStr">
        <is>
          <t>AMR-BOM-012</t>
        </is>
      </c>
      <c r="B15" s="15" t="inlineStr">
        <is>
          <t>Mechanical</t>
        </is>
      </c>
      <c r="C15" s="4" t="inlineStr">
        <is>
          <t>Bearing Block &amp; Couplings</t>
        </is>
      </c>
      <c r="D15" s="16" t="inlineStr">
        <is>
          <t>Flanged support bearings for ball screws and flexible jaw couplings</t>
        </is>
      </c>
      <c r="E15" s="16" t="inlineStr">
        <is>
          <t>FK20/FF20 support blocks, D35 L50 Couplings</t>
        </is>
      </c>
      <c r="F15" s="4" t="inlineStr">
        <is>
          <t>Misumi / local supplier</t>
        </is>
      </c>
      <c r="G15" s="17" t="n">
        <v>1</v>
      </c>
      <c r="H15" s="18" t="n">
        <v>70</v>
      </c>
      <c r="I15" s="19">
        <f>G15*H15</f>
        <v/>
      </c>
      <c r="J15" s="16" t="inlineStr">
        <is>
          <t>Connects central lift motor to the vertical ball screw</t>
        </is>
      </c>
    </row>
    <row r="16" ht="36" customHeight="1">
      <c r="A16" s="8" t="inlineStr">
        <is>
          <t>AMR-BOM-013</t>
        </is>
      </c>
      <c r="B16" s="9" t="inlineStr">
        <is>
          <t>Actuation</t>
        </is>
      </c>
      <c r="C16" s="6" t="inlineStr">
        <is>
          <t>Differential Drive Motors</t>
        </is>
      </c>
      <c r="D16" s="10" t="inlineStr">
        <is>
          <t>Brushless DC servo motors with planetary gearboxes &amp; electromagnetic brakes</t>
        </is>
      </c>
      <c r="E16" s="10" t="inlineStr">
        <is>
          <t>48V 750W, 3000RPM, 1:20 Planetary Gearbox, IP54</t>
        </is>
      </c>
      <c r="F16" s="6" t="inlineStr">
        <is>
          <t>Leadshine / ZYT Motor</t>
        </is>
      </c>
      <c r="G16" s="11" t="n">
        <v>2</v>
      </c>
      <c r="H16" s="12" t="n">
        <v>380</v>
      </c>
      <c r="I16" s="13">
        <f>G16*H16</f>
        <v/>
      </c>
      <c r="J16" s="10" t="inlineStr">
        <is>
          <t>Provides 1.5 m/s speed and high starting torque</t>
        </is>
      </c>
    </row>
    <row r="17" ht="36" customHeight="1">
      <c r="A17" s="14" t="inlineStr">
        <is>
          <t>AMR-BOM-014</t>
        </is>
      </c>
      <c r="B17" s="15" t="inlineStr">
        <is>
          <t>Actuation</t>
        </is>
      </c>
      <c r="C17" s="4" t="inlineStr">
        <is>
          <t>Central Lifting BLDC Motor</t>
        </is>
      </c>
      <c r="D17" s="16" t="inlineStr">
        <is>
          <t>Brushless DC motor with planetary gearbox to drive vertical lift ball screw</t>
        </is>
      </c>
      <c r="E17" s="16" t="inlineStr">
        <is>
          <t>48V 1000W, 3000RPM, 1:15 Planetary Gearbox, Braked</t>
        </is>
      </c>
      <c r="F17" s="4" t="inlineStr">
        <is>
          <t>Leadshine / ZYT Motor</t>
        </is>
      </c>
      <c r="G17" s="17" t="n">
        <v>1</v>
      </c>
      <c r="H17" s="18" t="n">
        <v>420</v>
      </c>
      <c r="I17" s="19">
        <f>G17*H17</f>
        <v/>
      </c>
      <c r="J17" s="16" t="inlineStr">
        <is>
          <t>Single motor to raise/lower the entire lifting carriage</t>
        </is>
      </c>
    </row>
    <row r="18" ht="36" customHeight="1">
      <c r="A18" s="8" t="inlineStr">
        <is>
          <t>AMR-BOM-015</t>
        </is>
      </c>
      <c r="B18" s="9" t="inlineStr">
        <is>
          <t>Actuation</t>
        </is>
      </c>
      <c r="C18" s="6" t="inlineStr">
        <is>
          <t>Fork Extension Geared Motor</t>
        </is>
      </c>
      <c r="D18" s="10" t="inlineStr">
        <is>
          <t>Geared motor driving a transverse splined shaft for synchronized fork travel</t>
        </is>
      </c>
      <c r="E18" s="10" t="inlineStr">
        <is>
          <t>24V 200W Geared DC Motor + Splined Drive Shaft</t>
        </is>
      </c>
      <c r="F18" s="6" t="inlineStr">
        <is>
          <t>Leadshine / local supplier</t>
        </is>
      </c>
      <c r="G18" s="11" t="n">
        <v>1</v>
      </c>
      <c r="H18" s="12" t="n">
        <v>240</v>
      </c>
      <c r="I18" s="13">
        <f>G18*H18</f>
        <v/>
      </c>
      <c r="J18" s="10" t="inlineStr">
        <is>
          <t>Single motor to extend/retract both forks simultaneously</t>
        </is>
      </c>
    </row>
    <row r="19" ht="36" customHeight="1">
      <c r="A19" s="14" t="inlineStr">
        <is>
          <t>AMR-BOM-016</t>
        </is>
      </c>
      <c r="B19" s="15" t="inlineStr">
        <is>
          <t>Actuation</t>
        </is>
      </c>
      <c r="C19" s="4" t="inlineStr">
        <is>
          <t>Fork Width Adjustment Motor</t>
        </is>
      </c>
      <c r="D19" s="16" t="inlineStr">
        <is>
          <t>DC geared motor with integrated encoder for transverse lead screw drive</t>
        </is>
      </c>
      <c r="E19" s="16" t="inlineStr">
        <is>
          <t>24V 60W, 100RPM, planetary gear</t>
        </is>
      </c>
      <c r="F19" s="4" t="inlineStr">
        <is>
          <t>DFRobot / local supplier</t>
        </is>
      </c>
      <c r="G19" s="17" t="n">
        <v>1</v>
      </c>
      <c r="H19" s="18" t="n">
        <v>95</v>
      </c>
      <c r="I19" s="19">
        <f>G19*H19</f>
        <v/>
      </c>
      <c r="J19" s="16" t="inlineStr">
        <is>
          <t>Adjusts the width slide of the forks dynamically</t>
        </is>
      </c>
    </row>
    <row r="20" ht="36" customHeight="1">
      <c r="A20" s="8" t="inlineStr">
        <is>
          <t>AMR-BOM-017</t>
        </is>
      </c>
      <c r="B20" s="9" t="inlineStr">
        <is>
          <t>Control</t>
        </is>
      </c>
      <c r="C20" s="6" t="inlineStr">
        <is>
          <t>Main Navigation Controller</t>
        </is>
      </c>
      <c r="D20" s="10" t="inlineStr">
        <is>
          <t>Industrial PC running Linux Ubuntu and ROS 2 Navigation stack</t>
        </is>
      </c>
      <c r="E20" s="10" t="inlineStr">
        <is>
          <t>Intel Core i5-1145G7, 16GB RAM, 256GB SSD, 9-36V DC</t>
        </is>
      </c>
      <c r="F20" s="6" t="inlineStr">
        <is>
          <t>Neousys / Advantech</t>
        </is>
      </c>
      <c r="G20" s="11" t="n">
        <v>1</v>
      </c>
      <c r="H20" s="12" t="n">
        <v>750</v>
      </c>
      <c r="I20" s="13">
        <f>G20*H20</f>
        <v/>
      </c>
      <c r="J20" s="10" t="inlineStr">
        <is>
          <t>Runs SLAM, Nav2, path planning, and fleet interface</t>
        </is>
      </c>
    </row>
    <row r="21" ht="36" customHeight="1">
      <c r="A21" s="14" t="inlineStr">
        <is>
          <t>AMR-BOM-018</t>
        </is>
      </c>
      <c r="B21" s="15" t="inlineStr">
        <is>
          <t>Control</t>
        </is>
      </c>
      <c r="C21" s="4" t="inlineStr">
        <is>
          <t>Low-Level MCU Board</t>
        </is>
      </c>
      <c r="D21" s="16" t="inlineStr">
        <is>
          <t>Microcontroller board running micro-ROS for hardware interfaces</t>
        </is>
      </c>
      <c r="E21" s="16" t="inlineStr">
        <is>
          <t>Teensy 4.1 or STM32F407 Board</t>
        </is>
      </c>
      <c r="F21" s="4" t="inlineStr">
        <is>
          <t>STMicroelectronics / PJRC</t>
        </is>
      </c>
      <c r="G21" s="17" t="n">
        <v>1</v>
      </c>
      <c r="H21" s="18" t="n">
        <v>45</v>
      </c>
      <c r="I21" s="19">
        <f>G21*H21</f>
        <v/>
      </c>
      <c r="J21" s="16" t="inlineStr">
        <is>
          <t>Handles encoder feedback, limit switches, and motor commands</t>
        </is>
      </c>
    </row>
    <row r="22" ht="36" customHeight="1">
      <c r="A22" s="8" t="inlineStr">
        <is>
          <t>AMR-BOM-019</t>
        </is>
      </c>
      <c r="B22" s="9" t="inlineStr">
        <is>
          <t>Control</t>
        </is>
      </c>
      <c r="C22" s="6" t="inlineStr">
        <is>
          <t>BLDC Motor Drivers</t>
        </is>
      </c>
      <c r="D22" s="10" t="inlineStr">
        <is>
          <t>High-performance dual-channel CAN-bus brushless motor controllers</t>
        </is>
      </c>
      <c r="E22" s="10" t="inlineStr">
        <is>
          <t>Roboteq SBL2360, 48V, Dual 60A per channel</t>
        </is>
      </c>
      <c r="F22" s="6" t="inlineStr">
        <is>
          <t>Roboteq</t>
        </is>
      </c>
      <c r="G22" s="11" t="n">
        <v>2</v>
      </c>
      <c r="H22" s="12" t="n">
        <v>490</v>
      </c>
      <c r="I22" s="13">
        <f>G22*H22</f>
        <v/>
      </c>
      <c r="J22" s="10" t="inlineStr">
        <is>
          <t>1 driver for 2x drive motors; 1 driver for 1x lift motor &amp; 1x extension motor</t>
        </is>
      </c>
    </row>
    <row r="23" ht="36" customHeight="1">
      <c r="A23" s="14" t="inlineStr">
        <is>
          <t>AMR-BOM-020</t>
        </is>
      </c>
      <c r="B23" s="15" t="inlineStr">
        <is>
          <t>Control</t>
        </is>
      </c>
      <c r="C23" s="4" t="inlineStr">
        <is>
          <t>Smart Battery Pack</t>
        </is>
      </c>
      <c r="D23" s="16" t="inlineStr">
        <is>
          <t>Lithium Iron Phosphate (LiFePO4) battery with RS485/CAN communication</t>
        </is>
      </c>
      <c r="E23" s="16" t="inlineStr">
        <is>
          <t>48V 60Ah, 150A continuous discharge, built-in Smart BMS</t>
        </is>
      </c>
      <c r="F23" s="4" t="inlineStr">
        <is>
          <t>Efest / RELiON / Custom</t>
        </is>
      </c>
      <c r="G23" s="17" t="n">
        <v>1</v>
      </c>
      <c r="H23" s="18" t="n">
        <v>1200</v>
      </c>
      <c r="I23" s="19">
        <f>G23*H23</f>
        <v/>
      </c>
      <c r="J23" s="16" t="inlineStr">
        <is>
          <t>Provides 8+ hours of operating runtime</t>
        </is>
      </c>
    </row>
    <row r="24" ht="36" customHeight="1">
      <c r="A24" s="8" t="inlineStr">
        <is>
          <t>AMR-BOM-021</t>
        </is>
      </c>
      <c r="B24" s="9" t="inlineStr">
        <is>
          <t>Control</t>
        </is>
      </c>
      <c r="C24" s="6" t="inlineStr">
        <is>
          <t>Power Distribution Board</t>
        </is>
      </c>
      <c r="D24" s="10" t="inlineStr">
        <is>
          <t>Custom distribution board with circuit breakers, fuses, and relays</t>
        </is>
      </c>
      <c r="E24" s="10" t="inlineStr">
        <is>
          <t>Custom PCB, heavy-copper traces, 100A main contactor</t>
        </is>
      </c>
      <c r="F24" s="6" t="inlineStr">
        <is>
          <t>Local PCB shop</t>
        </is>
      </c>
      <c r="G24" s="11" t="n">
        <v>1</v>
      </c>
      <c r="H24" s="12" t="n">
        <v>150</v>
      </c>
      <c r="I24" s="13">
        <f>G24*H24</f>
        <v/>
      </c>
      <c r="J24" s="10" t="inlineStr">
        <is>
          <t>Safely routes power to PC, drivers, and sensors</t>
        </is>
      </c>
    </row>
    <row r="25" ht="36" customHeight="1">
      <c r="A25" s="14" t="inlineStr">
        <is>
          <t>AMR-BOM-022</t>
        </is>
      </c>
      <c r="B25" s="15" t="inlineStr">
        <is>
          <t>Control</t>
        </is>
      </c>
      <c r="C25" s="4" t="inlineStr">
        <is>
          <t>Automatic Fast Charger</t>
        </is>
      </c>
      <c r="D25" s="16" t="inlineStr">
        <is>
          <t>Industrial smart battery charger with docking pads for auto-charging</t>
        </is>
      </c>
      <c r="E25" s="16" t="inlineStr">
        <is>
          <t>48V 15A output, contact pads for floor dock</t>
        </is>
      </c>
      <c r="F25" s="4" t="inlineStr">
        <is>
          <t>Delta Q / local supplier</t>
        </is>
      </c>
      <c r="G25" s="17" t="n">
        <v>1</v>
      </c>
      <c r="H25" s="18" t="n">
        <v>350</v>
      </c>
      <c r="I25" s="19">
        <f>G25*H25</f>
        <v/>
      </c>
      <c r="J25" s="16" t="inlineStr">
        <is>
          <t>Interfaces with floor docking plate for automated charging</t>
        </is>
      </c>
    </row>
    <row r="26" ht="36" customHeight="1">
      <c r="A26" s="8" t="inlineStr">
        <is>
          <t>AMR-BOM-023</t>
        </is>
      </c>
      <c r="B26" s="9" t="inlineStr">
        <is>
          <t>Sensors</t>
        </is>
      </c>
      <c r="C26" s="6" t="inlineStr">
        <is>
          <t>2D Navigation LiDARs</t>
        </is>
      </c>
      <c r="D26" s="10" t="inlineStr">
        <is>
          <t>Safety laser scanners for SLAM and 360-degree obstacle detection</t>
        </is>
      </c>
      <c r="E26" s="10" t="inlineStr">
        <is>
          <t>Sick TiM561 or Hokuyo UST-10LX, 10m range</t>
        </is>
      </c>
      <c r="F26" s="6" t="inlineStr">
        <is>
          <t>Sick / Hokuyo</t>
        </is>
      </c>
      <c r="G26" s="11" t="n">
        <v>2</v>
      </c>
      <c r="H26" s="12" t="n">
        <v>980</v>
      </c>
      <c r="I26" s="13">
        <f>G26*H26</f>
        <v/>
      </c>
      <c r="J26" s="10" t="inlineStr">
        <is>
          <t>Mounted diagonally (front-right, rear-left) for full coverage</t>
        </is>
      </c>
    </row>
    <row r="27" ht="36" customHeight="1">
      <c r="A27" s="14" t="inlineStr">
        <is>
          <t>AMR-BOM-024</t>
        </is>
      </c>
      <c r="B27" s="15" t="inlineStr">
        <is>
          <t>Sensors</t>
        </is>
      </c>
      <c r="C27" s="4" t="inlineStr">
        <is>
          <t>3D Obstacle Avoidance Cameras</t>
        </is>
      </c>
      <c r="D27" s="16" t="inlineStr">
        <is>
          <t>Depth cameras for stereoscopic obstacle and height detection</t>
        </is>
      </c>
      <c r="E27" s="16" t="inlineStr">
        <is>
          <t>Intel RealSense D435i or Orbbec Astra Pro</t>
        </is>
      </c>
      <c r="F27" s="4" t="inlineStr">
        <is>
          <t>Intel / Orbbec</t>
        </is>
      </c>
      <c r="G27" s="17" t="n">
        <v>2</v>
      </c>
      <c r="H27" s="18" t="n">
        <v>220</v>
      </c>
      <c r="I27" s="19">
        <f>G27*H27</f>
        <v/>
      </c>
      <c r="J27" s="16" t="inlineStr">
        <is>
          <t>Mounted front and rear for volumetric obstacle check</t>
        </is>
      </c>
    </row>
    <row r="28" ht="36" customHeight="1">
      <c r="A28" s="8" t="inlineStr">
        <is>
          <t>AMR-BOM-025</t>
        </is>
      </c>
      <c r="B28" s="9" t="inlineStr">
        <is>
          <t>Sensors</t>
        </is>
      </c>
      <c r="C28" s="6" t="inlineStr">
        <is>
          <t>Pallet Detection Sensors</t>
        </is>
      </c>
      <c r="D28" s="10" t="inlineStr">
        <is>
          <t>Diffuse reflection photoelectric sensors in forks</t>
        </is>
      </c>
      <c r="E28" s="10" t="inlineStr">
        <is>
          <t>Sick WL9 or Keyence PR-M, miniature photoeyes</t>
        </is>
      </c>
      <c r="F28" s="6" t="inlineStr">
        <is>
          <t>Sick / Keyence</t>
        </is>
      </c>
      <c r="G28" s="11" t="n">
        <v>4</v>
      </c>
      <c r="H28" s="12" t="n">
        <v>85</v>
      </c>
      <c r="I28" s="13">
        <f>G28*H28</f>
        <v/>
      </c>
      <c r="J28" s="10" t="inlineStr">
        <is>
          <t>Detects pallet presence and docking alignment in fork channels</t>
        </is>
      </c>
    </row>
    <row r="29" ht="36" customHeight="1">
      <c r="A29" s="14" t="inlineStr">
        <is>
          <t>AMR-BOM-026</t>
        </is>
      </c>
      <c r="B29" s="15" t="inlineStr">
        <is>
          <t>Sensors</t>
        </is>
      </c>
      <c r="C29" s="4" t="inlineStr">
        <is>
          <t>High-Precision IMU</t>
        </is>
      </c>
      <c r="D29" s="16" t="inlineStr">
        <is>
          <t>Inertial Measurement Unit for SLAM odometry correction</t>
        </is>
      </c>
      <c r="E29" s="16" t="inlineStr">
        <is>
          <t>9-axis IMU, Bosch BNO055 or Xsens MTi-3</t>
        </is>
      </c>
      <c r="F29" s="4" t="inlineStr">
        <is>
          <t>Adafruit / Xsens</t>
        </is>
      </c>
      <c r="G29" s="17" t="n">
        <v>1</v>
      </c>
      <c r="H29" s="18" t="n">
        <v>75</v>
      </c>
      <c r="I29" s="19">
        <f>G29*H29</f>
        <v/>
      </c>
      <c r="J29" s="16" t="inlineStr">
        <is>
          <t>Provides angular rate and linear acceleration data</t>
        </is>
      </c>
    </row>
    <row r="30" ht="36" customHeight="1">
      <c r="A30" s="8" t="inlineStr">
        <is>
          <t>AMR-BOM-027</t>
        </is>
      </c>
      <c r="B30" s="9" t="inlineStr">
        <is>
          <t>Sensors</t>
        </is>
      </c>
      <c r="C30" s="6" t="inlineStr">
        <is>
          <t>Inductive Limit Switches</t>
        </is>
      </c>
      <c r="D30" s="10" t="inlineStr">
        <is>
          <t>Proximity sensors for lift height limits and fork width calibration</t>
        </is>
      </c>
      <c r="E30" s="10" t="inlineStr">
        <is>
          <t>Omron E2E cylindrical proximity sensors</t>
        </is>
      </c>
      <c r="F30" s="6" t="inlineStr">
        <is>
          <t>Omron</t>
        </is>
      </c>
      <c r="G30" s="11" t="n">
        <v>6</v>
      </c>
      <c r="H30" s="12" t="n">
        <v>25</v>
      </c>
      <c r="I30" s="13">
        <f>G30*H30</f>
        <v/>
      </c>
      <c r="J30" s="10" t="inlineStr">
        <is>
          <t>End-stop detection for mechanical linkages</t>
        </is>
      </c>
    </row>
    <row r="31" ht="36" customHeight="1">
      <c r="A31" s="14" t="inlineStr">
        <is>
          <t>AMR-BOM-028</t>
        </is>
      </c>
      <c r="B31" s="15" t="inlineStr">
        <is>
          <t>Sensors</t>
        </is>
      </c>
      <c r="C31" s="4" t="inlineStr">
        <is>
          <t>Safety Bumpers &amp; E-Stops</t>
        </is>
      </c>
      <c r="D31" s="16" t="inlineStr">
        <is>
          <t>Pressure-sensitive contact edges and manual emergency stops</t>
        </is>
      </c>
      <c r="E31" s="16" t="inlineStr">
        <is>
          <t>TapeSwitch bumper strip + 2x red mushroom E-stops</t>
        </is>
      </c>
      <c r="F31" s="4" t="inlineStr">
        <is>
          <t>TapeSwitch / local supplier</t>
        </is>
      </c>
      <c r="G31" s="17" t="n">
        <v>1</v>
      </c>
      <c r="H31" s="18" t="n">
        <v>180</v>
      </c>
      <c r="I31" s="19">
        <f>G31*H31</f>
        <v/>
      </c>
      <c r="J31" s="16" t="inlineStr">
        <is>
          <t>Physical safety overrides to stop motion immediately</t>
        </is>
      </c>
    </row>
    <row r="32" ht="36" customHeight="1">
      <c r="A32" s="8" t="inlineStr">
        <is>
          <t>AMR-BOM-029</t>
        </is>
      </c>
      <c r="B32" s="9" t="inlineStr">
        <is>
          <t>Sensors</t>
        </is>
      </c>
      <c r="C32" s="6" t="inlineStr">
        <is>
          <t>Warning Light Tower &amp; Siren</t>
        </is>
      </c>
      <c r="D32" s="10" t="inlineStr">
        <is>
          <t>Audible and visual status indicator beacon</t>
        </is>
      </c>
      <c r="E32" s="10" t="inlineStr">
        <is>
          <t>RGB LED Tower, 85dB siren, 24V</t>
        </is>
      </c>
      <c r="F32" s="6" t="inlineStr">
        <is>
          <t>Banner Engineering / local</t>
        </is>
      </c>
      <c r="G32" s="11" t="n">
        <v>1</v>
      </c>
      <c r="H32" s="12" t="n">
        <v>75</v>
      </c>
      <c r="I32" s="13">
        <f>G32*H32</f>
        <v/>
      </c>
      <c r="J32" s="10" t="inlineStr">
        <is>
          <t>Signals robot state (idle, moving, fault, charging)</t>
        </is>
      </c>
    </row>
    <row r="34" ht="25" customHeight="1">
      <c r="A34" s="20" t="inlineStr">
        <is>
          <t>GRAND TOTAL ESTIMATED HARDWARE COST</t>
        </is>
      </c>
      <c r="B34" s="21" t="n"/>
      <c r="C34" s="21" t="n"/>
      <c r="D34" s="21" t="n"/>
      <c r="E34" s="21" t="n"/>
      <c r="F34" s="21" t="n"/>
      <c r="G34" s="21" t="n"/>
      <c r="H34" s="21" t="n"/>
      <c r="I34" s="22">
        <f>SUM(I4:I32)</f>
        <v/>
      </c>
    </row>
  </sheetData>
  <mergeCells count="2">
    <mergeCell ref="A1:J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16" customWidth="1" min="3" max="3"/>
    <col width="12" customWidth="1" min="4" max="4"/>
    <col width="54" customWidth="1" min="5" max="5"/>
  </cols>
  <sheetData>
    <row r="1" ht="30" customHeight="1">
      <c r="A1" s="1" t="inlineStr">
        <is>
          <t>E10T Sizing &amp; Engineering Calculations</t>
        </is>
      </c>
    </row>
    <row r="3">
      <c r="A3" s="23" t="inlineStr">
        <is>
          <t>1. Central Vertical Lift Carriage Sizing</t>
        </is>
      </c>
    </row>
    <row r="4" ht="24" customHeight="1">
      <c r="A4" s="7" t="inlineStr">
        <is>
          <t>Parameter / Step</t>
        </is>
      </c>
      <c r="B4" s="7" t="inlineStr">
        <is>
          <t>Symbol / Formula</t>
        </is>
      </c>
      <c r="C4" s="7" t="inlineStr">
        <is>
          <t>Value</t>
        </is>
      </c>
      <c r="D4" s="7" t="inlineStr">
        <is>
          <t>Unit</t>
        </is>
      </c>
      <c r="E4" s="7" t="inlineStr">
        <is>
          <t>Explanation</t>
        </is>
      </c>
    </row>
    <row r="5">
      <c r="A5" s="24" t="inlineStr">
        <is>
          <t>Total Load to Lift</t>
        </is>
      </c>
      <c r="B5" s="25" t="inlineStr">
        <is>
          <t>W = (Payload + Lift Carriage)</t>
        </is>
      </c>
      <c r="C5" s="26" t="n">
        <v>1080</v>
      </c>
      <c r="D5" s="27" t="inlineStr">
        <is>
          <t>kg</t>
        </is>
      </c>
      <c r="E5" s="27" t="inlineStr">
        <is>
          <t>1000kg max payload + 80kg carriage and forks weight</t>
        </is>
      </c>
    </row>
    <row r="6">
      <c r="A6" s="28" t="inlineStr">
        <is>
          <t>Total Lifting Weight Force</t>
        </is>
      </c>
      <c r="B6" s="29" t="inlineStr">
        <is>
          <t>F_g = W * 9.81</t>
        </is>
      </c>
      <c r="C6" s="30">
        <f>C5*9.81</f>
        <v/>
      </c>
      <c r="D6" s="31" t="inlineStr">
        <is>
          <t>N</t>
        </is>
      </c>
      <c r="E6" s="31" t="inlineStr">
        <is>
          <t>Total gravitational force of load</t>
        </is>
      </c>
    </row>
    <row r="7">
      <c r="A7" s="24" t="inlineStr">
        <is>
          <t>Required Lifting Force</t>
        </is>
      </c>
      <c r="B7" s="25" t="inlineStr">
        <is>
          <t>F_lift = F_g</t>
        </is>
      </c>
      <c r="C7" s="32">
        <f>C6</f>
        <v/>
      </c>
      <c r="D7" s="27" t="inlineStr">
        <is>
          <t>N</t>
        </is>
      </c>
      <c r="E7" s="27" t="inlineStr">
        <is>
          <t>Vertical force to lift the entire carriage (direct vertical lift)</t>
        </is>
      </c>
    </row>
    <row r="8">
      <c r="A8" s="28" t="inlineStr">
        <is>
          <t>Lifting Ball Screw Pitch</t>
        </is>
      </c>
      <c r="B8" s="29" t="inlineStr">
        <is>
          <t>p</t>
        </is>
      </c>
      <c r="C8" s="33" t="n">
        <v>5</v>
      </c>
      <c r="D8" s="31" t="inlineStr">
        <is>
          <t>mm</t>
        </is>
      </c>
      <c r="E8" s="31" t="inlineStr">
        <is>
          <t>Linear travel per rotation of the central vertical ball screw</t>
        </is>
      </c>
    </row>
    <row r="9">
      <c r="A9" s="24" t="inlineStr">
        <is>
          <t>Lifting Ball Screw Lead</t>
        </is>
      </c>
      <c r="B9" s="25" t="inlineStr">
        <is>
          <t>L = p / 1000</t>
        </is>
      </c>
      <c r="C9" s="34">
        <f>C8/1000</f>
        <v/>
      </c>
      <c r="D9" s="27" t="inlineStr">
        <is>
          <t>m</t>
        </is>
      </c>
      <c r="E9" s="27" t="inlineStr">
        <is>
          <t>Ball screw pitch in meters</t>
        </is>
      </c>
    </row>
    <row r="10">
      <c r="A10" s="28" t="inlineStr">
        <is>
          <t>Ball Screw Mechanical Efficiency</t>
        </is>
      </c>
      <c r="B10" s="29" t="inlineStr">
        <is>
          <t>eta_screw</t>
        </is>
      </c>
      <c r="C10" s="35" t="n">
        <v>0.9</v>
      </c>
      <c r="D10" s="31" t="inlineStr">
        <is>
          <t>decimal</t>
        </is>
      </c>
      <c r="E10" s="31" t="inlineStr">
        <is>
          <t>Frictional efficiency of rolling balls in screw threads</t>
        </is>
      </c>
    </row>
    <row r="11">
      <c r="A11" s="24" t="inlineStr">
        <is>
          <t>Screw Drive Torque Required</t>
        </is>
      </c>
      <c r="B11" s="25" t="inlineStr">
        <is>
          <t>T_screw = (F_lift * L) / (2 * pi * eta_screw)</t>
        </is>
      </c>
      <c r="C11" s="34">
        <f>(C7*C9)/(2*PI()*C10)</f>
        <v/>
      </c>
      <c r="D11" s="27" t="inlineStr">
        <is>
          <t>Nm</t>
        </is>
      </c>
      <c r="E11" s="27" t="inlineStr">
        <is>
          <t>Torque required on the vertical ball screw shaft to lift load</t>
        </is>
      </c>
    </row>
    <row r="12">
      <c r="A12" s="28" t="inlineStr">
        <is>
          <t>Lifting Gearbox Reduction Ratio</t>
        </is>
      </c>
      <c r="B12" s="29" t="inlineStr">
        <is>
          <t>R_gearbox</t>
        </is>
      </c>
      <c r="C12" s="36" t="n">
        <v>15</v>
      </c>
      <c r="D12" s="31" t="inlineStr">
        <is>
          <t>ratio</t>
        </is>
      </c>
      <c r="E12" s="31" t="inlineStr">
        <is>
          <t>Gear ratio of planetary gearbox on lift motor</t>
        </is>
      </c>
    </row>
    <row r="13">
      <c r="A13" s="24" t="inlineStr">
        <is>
          <t>Gearbox Efficiency</t>
        </is>
      </c>
      <c r="B13" s="25" t="inlineStr">
        <is>
          <t>eta_gearbox</t>
        </is>
      </c>
      <c r="C13" s="34" t="n">
        <v>0.95</v>
      </c>
      <c r="D13" s="27" t="inlineStr">
        <is>
          <t>decimal</t>
        </is>
      </c>
      <c r="E13" s="27" t="inlineStr">
        <is>
          <t>Planetary gear stage efficiency</t>
        </is>
      </c>
    </row>
    <row r="14">
      <c r="A14" s="28" t="inlineStr">
        <is>
          <t>Peak Lift Motor Torque Required</t>
        </is>
      </c>
      <c r="B14" s="29" t="inlineStr">
        <is>
          <t>T_motor = T_screw / (R_gearbox * eta_gearbox)</t>
        </is>
      </c>
      <c r="C14" s="35">
        <f>C11/(C12*C13)</f>
        <v/>
      </c>
      <c r="D14" s="31" t="inlineStr">
        <is>
          <t>Nm</t>
        </is>
      </c>
      <c r="E14" s="31" t="inlineStr">
        <is>
          <t>Required output torque from the single central BLDC motor before gearing</t>
        </is>
      </c>
    </row>
    <row r="16">
      <c r="A16" s="23" t="inlineStr">
        <is>
          <t>2. Differential Drive Traction Sizing</t>
        </is>
      </c>
    </row>
    <row r="17" ht="24" customHeight="1">
      <c r="A17" s="7" t="inlineStr">
        <is>
          <t>Parameter / Step</t>
        </is>
      </c>
      <c r="B17" s="7" t="inlineStr">
        <is>
          <t>Symbol / Formula</t>
        </is>
      </c>
      <c r="C17" s="7" t="inlineStr">
        <is>
          <t>Value</t>
        </is>
      </c>
      <c r="D17" s="7" t="inlineStr">
        <is>
          <t>Unit</t>
        </is>
      </c>
      <c r="E17" s="7" t="inlineStr">
        <is>
          <t>Explanation</t>
        </is>
      </c>
    </row>
    <row r="18">
      <c r="A18" s="28" t="inlineStr">
        <is>
          <t>Total Gross Mass (AMR + Payload)</t>
        </is>
      </c>
      <c r="B18" s="29" t="inlineStr">
        <is>
          <t>M = M_amr + M_payload</t>
        </is>
      </c>
      <c r="C18" s="37" t="n">
        <v>1320</v>
      </c>
      <c r="D18" s="31" t="inlineStr">
        <is>
          <t>kg</t>
        </is>
      </c>
      <c r="E18" s="31" t="inlineStr">
        <is>
          <t>Robot mass 320kg (E10T weight) + 1000kg payload</t>
        </is>
      </c>
    </row>
    <row r="19">
      <c r="A19" s="24" t="inlineStr">
        <is>
          <t>Maximum Travel Speed</t>
        </is>
      </c>
      <c r="B19" s="25" t="inlineStr">
        <is>
          <t>v_max</t>
        </is>
      </c>
      <c r="C19" s="38" t="n">
        <v>1.5</v>
      </c>
      <c r="D19" s="27" t="inlineStr">
        <is>
          <t>m/s</t>
        </is>
      </c>
      <c r="E19" s="27" t="inlineStr">
        <is>
          <t>Design speed of AMR at full capacity</t>
        </is>
      </c>
    </row>
    <row r="20">
      <c r="A20" s="28" t="inlineStr">
        <is>
          <t>Acceleration Time to Max Speed</t>
        </is>
      </c>
      <c r="B20" s="29" t="inlineStr">
        <is>
          <t>t_acc</t>
        </is>
      </c>
      <c r="C20" s="39" t="n">
        <v>2</v>
      </c>
      <c r="D20" s="31" t="inlineStr">
        <is>
          <t>s</t>
        </is>
      </c>
      <c r="E20" s="31" t="inlineStr">
        <is>
          <t>Time limit to reach full speed</t>
        </is>
      </c>
    </row>
    <row r="21">
      <c r="A21" s="24" t="inlineStr">
        <is>
          <t>Required Linear Acceleration</t>
        </is>
      </c>
      <c r="B21" s="25" t="inlineStr">
        <is>
          <t>a = v_max / t_acc</t>
        </is>
      </c>
      <c r="C21" s="34">
        <f>C19/C20</f>
        <v/>
      </c>
      <c r="D21" s="27" t="inlineStr">
        <is>
          <t>m/s^2</t>
        </is>
      </c>
      <c r="E21" s="27" t="inlineStr">
        <is>
          <t>Target acceleration rate</t>
        </is>
      </c>
    </row>
    <row r="22">
      <c r="A22" s="28" t="inlineStr">
        <is>
          <t>Acceleration Force Required</t>
        </is>
      </c>
      <c r="B22" s="29" t="inlineStr">
        <is>
          <t>F_acc = M * a</t>
        </is>
      </c>
      <c r="C22" s="30">
        <f>C18*C21</f>
        <v/>
      </c>
      <c r="D22" s="31" t="inlineStr">
        <is>
          <t>N</t>
        </is>
      </c>
      <c r="E22" s="31" t="inlineStr">
        <is>
          <t>Force needed to accelerate mass</t>
        </is>
      </c>
    </row>
    <row r="23">
      <c r="A23" s="24" t="inlineStr">
        <is>
          <t>Rolling Resistance Coefficient</t>
        </is>
      </c>
      <c r="B23" s="25" t="inlineStr">
        <is>
          <t>f_r</t>
        </is>
      </c>
      <c r="C23" s="34" t="n">
        <v>0.02</v>
      </c>
      <c r="D23" s="27" t="inlineStr">
        <is>
          <t>decimal</t>
        </is>
      </c>
      <c r="E23" s="27" t="inlineStr">
        <is>
          <t>Polyurethane wheels on smooth, hard industrial concrete floor</t>
        </is>
      </c>
    </row>
    <row r="24">
      <c r="A24" s="28" t="inlineStr">
        <is>
          <t>Rolling Resistance Force</t>
        </is>
      </c>
      <c r="B24" s="29" t="inlineStr">
        <is>
          <t>F_roll = M * g * f_r</t>
        </is>
      </c>
      <c r="C24" s="30">
        <f>C18*9.81*C23</f>
        <v/>
      </c>
      <c r="D24" s="31" t="inlineStr">
        <is>
          <t>N</t>
        </is>
      </c>
      <c r="E24" s="31" t="inlineStr">
        <is>
          <t>Force to overcome rolling friction</t>
        </is>
      </c>
    </row>
    <row r="25">
      <c r="A25" s="24" t="inlineStr">
        <is>
          <t>Total Tractive Force</t>
        </is>
      </c>
      <c r="B25" s="25" t="inlineStr">
        <is>
          <t>F_total = F_acc + F_roll</t>
        </is>
      </c>
      <c r="C25" s="32">
        <f>C22+C24</f>
        <v/>
      </c>
      <c r="D25" s="27" t="inlineStr">
        <is>
          <t>N</t>
        </is>
      </c>
      <c r="E25" s="27" t="inlineStr">
        <is>
          <t>Sum of acceleration and rolling friction forces</t>
        </is>
      </c>
    </row>
    <row r="26">
      <c r="A26" s="28" t="inlineStr">
        <is>
          <t>Number of Driving Motors/Wheels</t>
        </is>
      </c>
      <c r="B26" s="29" t="inlineStr">
        <is>
          <t>N_drive</t>
        </is>
      </c>
      <c r="C26" s="37" t="n">
        <v>2</v>
      </c>
      <c r="D26" s="31" t="inlineStr">
        <is>
          <t>qty</t>
        </is>
      </c>
      <c r="E26" s="31" t="inlineStr">
        <is>
          <t>Differential drive layout has two independent driven wheels</t>
        </is>
      </c>
    </row>
    <row r="27">
      <c r="A27" s="24" t="inlineStr">
        <is>
          <t>Tractive Force per Drive Wheel</t>
        </is>
      </c>
      <c r="B27" s="25" t="inlineStr">
        <is>
          <t>F_wheel = F_total / N_drive</t>
        </is>
      </c>
      <c r="C27" s="32">
        <f>C25/C26</f>
        <v/>
      </c>
      <c r="D27" s="27" t="inlineStr">
        <is>
          <t>N</t>
        </is>
      </c>
      <c r="E27" s="27" t="inlineStr">
        <is>
          <t>Tractive force share per driving wheel</t>
        </is>
      </c>
    </row>
    <row r="28">
      <c r="A28" s="28" t="inlineStr">
        <is>
          <t>Drive Wheel Radius</t>
        </is>
      </c>
      <c r="B28" s="29" t="inlineStr">
        <is>
          <t>R_wheel</t>
        </is>
      </c>
      <c r="C28" s="39" t="n">
        <v>0.1</v>
      </c>
      <c r="D28" s="31" t="inlineStr">
        <is>
          <t>m</t>
        </is>
      </c>
      <c r="E28" s="31" t="inlineStr">
        <is>
          <t>100mm wheel radius (200mm diameter drive wheel)</t>
        </is>
      </c>
    </row>
    <row r="29">
      <c r="A29" s="24" t="inlineStr">
        <is>
          <t>Peak Wheel Torque Required</t>
        </is>
      </c>
      <c r="B29" s="25" t="inlineStr">
        <is>
          <t>T_wheel = F_wheel * R_wheel</t>
        </is>
      </c>
      <c r="C29" s="34">
        <f>C27*C28</f>
        <v/>
      </c>
      <c r="D29" s="27" t="inlineStr">
        <is>
          <t>Nm</t>
        </is>
      </c>
      <c r="E29" s="27" t="inlineStr">
        <is>
          <t>Required torque at the wheel axle</t>
        </is>
      </c>
    </row>
    <row r="30">
      <c r="A30" s="28" t="inlineStr">
        <is>
          <t>Drive Gearbox Reduction Ratio</t>
        </is>
      </c>
      <c r="B30" s="29" t="inlineStr">
        <is>
          <t>R_drive_gearbox</t>
        </is>
      </c>
      <c r="C30" s="36" t="n">
        <v>20</v>
      </c>
      <c r="D30" s="31" t="inlineStr">
        <is>
          <t>ratio</t>
        </is>
      </c>
      <c r="E30" s="31" t="inlineStr">
        <is>
          <t>Planetary gearbox reduction ratio</t>
        </is>
      </c>
    </row>
    <row r="31">
      <c r="A31" s="24" t="inlineStr">
        <is>
          <t>Drive Gearbox Mechanical Efficiency</t>
        </is>
      </c>
      <c r="B31" s="25" t="inlineStr">
        <is>
          <t>eta_drive_box</t>
        </is>
      </c>
      <c r="C31" s="34" t="n">
        <v>0.95</v>
      </c>
      <c r="D31" s="27" t="inlineStr">
        <is>
          <t>decimal</t>
        </is>
      </c>
      <c r="E31" s="27" t="inlineStr">
        <is>
          <t>Efficiency of planetary stages</t>
        </is>
      </c>
    </row>
    <row r="32">
      <c r="A32" s="28" t="inlineStr">
        <is>
          <t>Peak Drive Motor Torque Required</t>
        </is>
      </c>
      <c r="B32" s="29" t="inlineStr">
        <is>
          <t>T_drive_motor = T_wheel / (R_drive_gearbox * eta_drive_box)</t>
        </is>
      </c>
      <c r="C32" s="35">
        <f>C29/(C30*C31)</f>
        <v/>
      </c>
      <c r="D32" s="31" t="inlineStr">
        <is>
          <t>Nm</t>
        </is>
      </c>
      <c r="E32" s="31" t="inlineStr">
        <is>
          <t>Required motor electromagnetic output torque</t>
        </is>
      </c>
    </row>
    <row r="33">
      <c r="A33" s="24" t="inlineStr">
        <is>
          <t>Rated Motor Rotation Speed</t>
        </is>
      </c>
      <c r="B33" s="25" t="inlineStr">
        <is>
          <t>omega_motor = (v_max / R_wheel) * R_drive_gearbox * 60 / (2*pi)</t>
        </is>
      </c>
      <c r="C33" s="26">
        <f>(C19/C28)*C30*60/(2*PI())</f>
        <v/>
      </c>
      <c r="D33" s="27" t="inlineStr">
        <is>
          <t>RPM</t>
        </is>
      </c>
      <c r="E33" s="27" t="inlineStr">
        <is>
          <t>Rotational speed of motor shaft at max linear velocity</t>
        </is>
      </c>
    </row>
    <row r="34">
      <c r="A34" s="28" t="inlineStr">
        <is>
          <t>Mechanical Power Output per Motor</t>
        </is>
      </c>
      <c r="B34" s="29" t="inlineStr">
        <is>
          <t>P_motor = T_drive_motor * (omega_motor * 2*pi / 60)</t>
        </is>
      </c>
      <c r="C34" s="37">
        <f>C32*C33*2*PI()/60</f>
        <v/>
      </c>
      <c r="D34" s="31" t="inlineStr">
        <is>
          <t>W</t>
        </is>
      </c>
      <c r="E34" s="31" t="inlineStr">
        <is>
          <t>Continuous mechanical wattage required per motor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2" customWidth="1" min="4" max="4"/>
    <col width="22" customWidth="1" min="5" max="5"/>
    <col width="54" customWidth="1" min="6" max="6"/>
  </cols>
  <sheetData>
    <row r="1" ht="30" customHeight="1">
      <c r="A1" s="1" t="inlineStr">
        <is>
          <t>E10T Electrical Connections &amp; Signal Routing</t>
        </is>
      </c>
    </row>
    <row r="3" ht="24" customHeight="1">
      <c r="A3" s="7" t="inlineStr">
        <is>
          <t>Connection ID</t>
        </is>
      </c>
      <c r="B3" s="7" t="inlineStr">
        <is>
          <t>Source Device</t>
        </is>
      </c>
      <c r="C3" s="7" t="inlineStr">
        <is>
          <t>Destination Device</t>
        </is>
      </c>
      <c r="D3" s="7" t="inlineStr">
        <is>
          <t>Cable Type</t>
        </is>
      </c>
      <c r="E3" s="7" t="inlineStr">
        <is>
          <t>Interface Protocol</t>
        </is>
      </c>
      <c r="F3" s="7" t="inlineStr">
        <is>
          <t>Function / Description</t>
        </is>
      </c>
    </row>
    <row r="4" ht="24" customHeight="1">
      <c r="A4" s="8" t="inlineStr">
        <is>
          <t>PWR-01</t>
        </is>
      </c>
      <c r="B4" s="6" t="inlineStr">
        <is>
          <t>Smart Battery Pack (48V)</t>
        </is>
      </c>
      <c r="C4" s="6" t="inlineStr">
        <is>
          <t>Main Circuit Breaker / Switch</t>
        </is>
      </c>
      <c r="D4" s="6" t="inlineStr">
        <is>
          <t>AWG 4 Silicon Wire</t>
        </is>
      </c>
      <c r="E4" s="9" t="inlineStr">
        <is>
          <t>DC Power</t>
        </is>
      </c>
      <c r="F4" s="10" t="inlineStr">
        <is>
          <t>Main power input connection</t>
        </is>
      </c>
    </row>
    <row r="5" ht="24" customHeight="1">
      <c r="A5" s="14" t="inlineStr">
        <is>
          <t>PWR-02</t>
        </is>
      </c>
      <c r="B5" s="4" t="inlineStr">
        <is>
          <t>Circuit Breaker</t>
        </is>
      </c>
      <c r="C5" s="4" t="inlineStr">
        <is>
          <t>Power Distribution Board</t>
        </is>
      </c>
      <c r="D5" s="4" t="inlineStr">
        <is>
          <t>AWG 6 Silicon Wire</t>
        </is>
      </c>
      <c r="E5" s="15" t="inlineStr">
        <is>
          <t>DC Power</t>
        </is>
      </c>
      <c r="F5" s="16" t="inlineStr">
        <is>
          <t>Fused main DC distribution bus</t>
        </is>
      </c>
    </row>
    <row r="6" ht="24" customHeight="1">
      <c r="A6" s="8" t="inlineStr">
        <is>
          <t>PWR-03</t>
        </is>
      </c>
      <c r="B6" s="6" t="inlineStr">
        <is>
          <t>Power Distribution Board</t>
        </is>
      </c>
      <c r="C6" s="6" t="inlineStr">
        <is>
          <t>Drive Motor Drivers (Roboteq)</t>
        </is>
      </c>
      <c r="D6" s="6" t="inlineStr">
        <is>
          <t>AWG 10 Silicon Wire</t>
        </is>
      </c>
      <c r="E6" s="9" t="inlineStr">
        <is>
          <t>DC Power</t>
        </is>
      </c>
      <c r="F6" s="10" t="inlineStr">
        <is>
          <t>High current feed for drive motors (fused)</t>
        </is>
      </c>
    </row>
    <row r="7" ht="24" customHeight="1">
      <c r="A7" s="14" t="inlineStr">
        <is>
          <t>PWR-04</t>
        </is>
      </c>
      <c r="B7" s="4" t="inlineStr">
        <is>
          <t>Power Distribution Board</t>
        </is>
      </c>
      <c r="C7" s="4" t="inlineStr">
        <is>
          <t>Lifting Motor Drivers (Roboteq)</t>
        </is>
      </c>
      <c r="D7" s="4" t="inlineStr">
        <is>
          <t>AWG 10 Silicon Wire</t>
        </is>
      </c>
      <c r="E7" s="15" t="inlineStr">
        <is>
          <t>DC Power</t>
        </is>
      </c>
      <c r="F7" s="16" t="inlineStr">
        <is>
          <t>High current feed for lifting motors (fused)</t>
        </is>
      </c>
    </row>
    <row r="8" ht="24" customHeight="1">
      <c r="A8" s="8" t="inlineStr">
        <is>
          <t>PWR-05</t>
        </is>
      </c>
      <c r="B8" s="6" t="inlineStr">
        <is>
          <t>Power Distribution Board</t>
        </is>
      </c>
      <c r="C8" s="6" t="inlineStr">
        <is>
          <t>Voltage Regulator (48V to 12V/24V)</t>
        </is>
      </c>
      <c r="D8" s="6" t="inlineStr">
        <is>
          <t>AWG 16 wire</t>
        </is>
      </c>
      <c r="E8" s="9" t="inlineStr">
        <is>
          <t>DC Power</t>
        </is>
      </c>
      <c r="F8" s="10" t="inlineStr">
        <is>
          <t>Power feed to step-down converters</t>
        </is>
      </c>
    </row>
    <row r="9" ht="24" customHeight="1">
      <c r="A9" s="14" t="inlineStr">
        <is>
          <t>PWR-06</t>
        </is>
      </c>
      <c r="B9" s="4" t="inlineStr">
        <is>
          <t>Voltage Regulator (24V)</t>
        </is>
      </c>
      <c r="C9" s="4" t="inlineStr">
        <is>
          <t>Industrial PC (Nav Controller)</t>
        </is>
      </c>
      <c r="D9" s="4" t="inlineStr">
        <is>
          <t>AWG 18 wire</t>
        </is>
      </c>
      <c r="E9" s="15" t="inlineStr">
        <is>
          <t>24V DC Power</t>
        </is>
      </c>
      <c r="F9" s="16" t="inlineStr">
        <is>
          <t>Regulated logic power for IPC</t>
        </is>
      </c>
    </row>
    <row r="10" ht="24" customHeight="1">
      <c r="A10" s="8" t="inlineStr">
        <is>
          <t>PWR-07</t>
        </is>
      </c>
      <c r="B10" s="6" t="inlineStr">
        <is>
          <t>Voltage Regulator (24V)</t>
        </is>
      </c>
      <c r="C10" s="6" t="inlineStr">
        <is>
          <t>Sensors &amp; Low-level Controllers</t>
        </is>
      </c>
      <c r="D10" s="6" t="inlineStr">
        <is>
          <t>AWG 20 wire</t>
        </is>
      </c>
      <c r="E10" s="9" t="inlineStr">
        <is>
          <t>24V/12V Power</t>
        </is>
      </c>
      <c r="F10" s="10" t="inlineStr">
        <is>
          <t>Power for LiDARs, cameras, and MCU</t>
        </is>
      </c>
    </row>
    <row r="11" ht="24" customHeight="1">
      <c r="A11" s="14" t="inlineStr">
        <is>
          <t>SIG-01</t>
        </is>
      </c>
      <c r="B11" s="4" t="inlineStr">
        <is>
          <t>2D Navigation LiDARs (2x)</t>
        </is>
      </c>
      <c r="C11" s="4" t="inlineStr">
        <is>
          <t>Industrial PC</t>
        </is>
      </c>
      <c r="D11" s="4" t="inlineStr">
        <is>
          <t>Cat6 Shielded RJ45</t>
        </is>
      </c>
      <c r="E11" s="15" t="inlineStr">
        <is>
          <t>Ethernet (TCP/IP)</t>
        </is>
      </c>
      <c r="F11" s="16" t="inlineStr">
        <is>
          <t>Point cloud data transmission for SLAM</t>
        </is>
      </c>
    </row>
    <row r="12" ht="24" customHeight="1">
      <c r="A12" s="8" t="inlineStr">
        <is>
          <t>SIG-02</t>
        </is>
      </c>
      <c r="B12" s="6" t="inlineStr">
        <is>
          <t>3D Obstacle Cameras (2x)</t>
        </is>
      </c>
      <c r="C12" s="6" t="inlineStr">
        <is>
          <t>Industrial PC</t>
        </is>
      </c>
      <c r="D12" s="6" t="inlineStr">
        <is>
          <t>USB 3.0 Type-C Cable</t>
        </is>
      </c>
      <c r="E12" s="9" t="inlineStr">
        <is>
          <t>USB 3.0</t>
        </is>
      </c>
      <c r="F12" s="10" t="inlineStr">
        <is>
          <t>RGB-D frames for stereoscopic obstacle checks</t>
        </is>
      </c>
    </row>
    <row r="13" ht="24" customHeight="1">
      <c r="A13" s="14" t="inlineStr">
        <is>
          <t>SIG-03</t>
        </is>
      </c>
      <c r="B13" s="4" t="inlineStr">
        <is>
          <t>IMU Sensor</t>
        </is>
      </c>
      <c r="C13" s="4" t="inlineStr">
        <is>
          <t>Low-Level MCU Board</t>
        </is>
      </c>
      <c r="D13" s="4" t="inlineStr">
        <is>
          <t>4-pin Ribbon Cable</t>
        </is>
      </c>
      <c r="E13" s="15" t="inlineStr">
        <is>
          <t>I2C / UART</t>
        </is>
      </c>
      <c r="F13" s="16" t="inlineStr">
        <is>
          <t>Raw accelerometer/gyroscope measurements</t>
        </is>
      </c>
    </row>
    <row r="14" ht="24" customHeight="1">
      <c r="A14" s="8" t="inlineStr">
        <is>
          <t>SIG-04</t>
        </is>
      </c>
      <c r="B14" s="6" t="inlineStr">
        <is>
          <t>Wheel Encoders (2x)</t>
        </is>
      </c>
      <c r="C14" s="6" t="inlineStr">
        <is>
          <t>Low-Level MCU Board</t>
        </is>
      </c>
      <c r="D14" s="6" t="inlineStr">
        <is>
          <t>Shielded 6-wire Cable</t>
        </is>
      </c>
      <c r="E14" s="9" t="inlineStr">
        <is>
          <t>Quadrature (A/B)</t>
        </is>
      </c>
      <c r="F14" s="10" t="inlineStr">
        <is>
          <t>Incremental drive wheel feedback for odometry</t>
        </is>
      </c>
    </row>
    <row r="15" ht="24" customHeight="1">
      <c r="A15" s="14" t="inlineStr">
        <is>
          <t>SIG-05</t>
        </is>
      </c>
      <c r="B15" s="4" t="inlineStr">
        <is>
          <t>Lift Linear Encoder</t>
        </is>
      </c>
      <c r="C15" s="4" t="inlineStr">
        <is>
          <t>Low-Level MCU Board</t>
        </is>
      </c>
      <c r="D15" s="4" t="inlineStr">
        <is>
          <t>Shielded 6-wire Cable</t>
        </is>
      </c>
      <c r="E15" s="15" t="inlineStr">
        <is>
          <t>SSI / SSI-SPI</t>
        </is>
      </c>
      <c r="F15" s="16" t="inlineStr">
        <is>
          <t>Absolute vertical position of the lifting carriage</t>
        </is>
      </c>
    </row>
    <row r="16" ht="24" customHeight="1">
      <c r="A16" s="8" t="inlineStr">
        <is>
          <t>SIG-06</t>
        </is>
      </c>
      <c r="B16" s="6" t="inlineStr">
        <is>
          <t>Limit &amp; Proximity Switches (6x)</t>
        </is>
      </c>
      <c r="C16" s="6" t="inlineStr">
        <is>
          <t>Low-Level MCU Board</t>
        </is>
      </c>
      <c r="D16" s="6" t="inlineStr">
        <is>
          <t>3-wire Sensor Cable</t>
        </is>
      </c>
      <c r="E16" s="9" t="inlineStr">
        <is>
          <t>Digital I/O (24V)</t>
        </is>
      </c>
      <c r="F16" s="10" t="inlineStr">
        <is>
          <t>End-of-travel safety flags for lift and slide</t>
        </is>
      </c>
    </row>
    <row r="17" ht="24" customHeight="1">
      <c r="A17" s="14" t="inlineStr">
        <is>
          <t>SIG-07</t>
        </is>
      </c>
      <c r="B17" s="4" t="inlineStr">
        <is>
          <t>Pallet Photoelectric Sensors (4x)</t>
        </is>
      </c>
      <c r="C17" s="4" t="inlineStr">
        <is>
          <t>Low-Level MCU Board</t>
        </is>
      </c>
      <c r="D17" s="4" t="inlineStr">
        <is>
          <t>3-wire Sensor Cable</t>
        </is>
      </c>
      <c r="E17" s="15" t="inlineStr">
        <is>
          <t>Digital I/O (24V)</t>
        </is>
      </c>
      <c r="F17" s="16" t="inlineStr">
        <is>
          <t>Detects pallet legs and correct insertion</t>
        </is>
      </c>
    </row>
    <row r="18" ht="24" customHeight="1">
      <c r="A18" s="8" t="inlineStr">
        <is>
          <t>COM-01</t>
        </is>
      </c>
      <c r="B18" s="6" t="inlineStr">
        <is>
          <t>Industrial PC</t>
        </is>
      </c>
      <c r="C18" s="6" t="inlineStr">
        <is>
          <t>Low-Level MCU Board</t>
        </is>
      </c>
      <c r="D18" s="6" t="inlineStr">
        <is>
          <t>Shielded USB Cable</t>
        </is>
      </c>
      <c r="E18" s="9" t="inlineStr">
        <is>
          <t>micro-ROS Serial (USB)</t>
        </is>
      </c>
      <c r="F18" s="10" t="inlineStr">
        <is>
          <t>Command velocities (cmd_vel) and odometry feedback</t>
        </is>
      </c>
    </row>
    <row r="19" ht="24" customHeight="1">
      <c r="A19" s="14" t="inlineStr">
        <is>
          <t>COM-02</t>
        </is>
      </c>
      <c r="B19" s="4" t="inlineStr">
        <is>
          <t>Low-Level MCU Board</t>
        </is>
      </c>
      <c r="C19" s="4" t="inlineStr">
        <is>
          <t>Drive Motor Drivers</t>
        </is>
      </c>
      <c r="D19" s="4" t="inlineStr">
        <is>
          <t>Shielded twisted pair</t>
        </is>
      </c>
      <c r="E19" s="15" t="inlineStr">
        <is>
          <t>CAN-bus</t>
        </is>
      </c>
      <c r="F19" s="16" t="inlineStr">
        <is>
          <t>Position/velocity control frames for wheels</t>
        </is>
      </c>
    </row>
    <row r="20" ht="24" customHeight="1">
      <c r="A20" s="8" t="inlineStr">
        <is>
          <t>COM-03</t>
        </is>
      </c>
      <c r="B20" s="6" t="inlineStr">
        <is>
          <t>Low-Level MCU Board</t>
        </is>
      </c>
      <c r="C20" s="6" t="inlineStr">
        <is>
          <t>Lifting Motor Driver</t>
        </is>
      </c>
      <c r="D20" s="6" t="inlineStr">
        <is>
          <t>Shielded twisted pair</t>
        </is>
      </c>
      <c r="E20" s="9" t="inlineStr">
        <is>
          <t>CAN-bus</t>
        </is>
      </c>
      <c r="F20" s="10" t="inlineStr">
        <is>
          <t>Vertical lift motion control</t>
        </is>
      </c>
    </row>
    <row r="21" ht="24" customHeight="1">
      <c r="A21" s="14" t="inlineStr">
        <is>
          <t>COM-04</t>
        </is>
      </c>
      <c r="B21" s="4" t="inlineStr">
        <is>
          <t>Smart Battery BMS</t>
        </is>
      </c>
      <c r="C21" s="4" t="inlineStr">
        <is>
          <t>Industrial PC</t>
        </is>
      </c>
      <c r="D21" s="4" t="inlineStr">
        <is>
          <t>RS485 to USB converter</t>
        </is>
      </c>
      <c r="E21" s="15" t="inlineStr">
        <is>
          <t>Modbus RTU / CAN</t>
        </is>
      </c>
      <c r="F21" s="16" t="inlineStr">
        <is>
          <t>State of Charge (SoC), voltage, and diagnostic logs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2026-07-14T10:34:20Z</dcterms:created>
  <dcterms:modified xmlns:dcterms="http://purl.org/dc/terms/" xmlns:xsi="http://www.w3.org/2001/XMLSchema-instance" xsi:type="dcterms:W3CDTF">2026-07-14T10:34:20Z</dcterms:modified>
</cp:coreProperties>
</file>